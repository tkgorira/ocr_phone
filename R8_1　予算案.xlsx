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<sst xmlns="http://schemas.openxmlformats.org/spreadsheetml/2006/main" count="22" uniqueCount="22">
  <si>
    <t>R8　1月予算</t>
  </si>
  <si>
    <t>給与</t>
  </si>
  <si>
    <t>必要な現金</t>
  </si>
  <si>
    <t>カード合計</t>
  </si>
  <si>
    <t>ETC利用分</t>
  </si>
  <si>
    <t>固定費</t>
  </si>
  <si>
    <t>水道</t>
  </si>
  <si>
    <t>火災</t>
  </si>
  <si>
    <t>小規模事業</t>
  </si>
  <si>
    <t>電気（電気）</t>
  </si>
  <si>
    <t>ガス　(確定)11/14</t>
  </si>
  <si>
    <t>家</t>
  </si>
  <si>
    <t>柔術</t>
  </si>
  <si>
    <t>dカード</t>
  </si>
  <si>
    <t>イオンカード</t>
  </si>
  <si>
    <t>投資</t>
  </si>
  <si>
    <t>小遣い</t>
  </si>
  <si>
    <t>固定資産税（12/25)</t>
  </si>
  <si>
    <t>積み立て</t>
  </si>
  <si>
    <t>回収分</t>
  </si>
  <si>
    <t>支出合計</t>
  </si>
  <si>
    <t>収支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</si>
</sst>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3">
    <border/>
    <border>
      <right style="thin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Font="1"/>
    <xf borderId="2" fillId="3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3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4">
        <v>482429.0</v>
      </c>
      <c r="C2" s="4" t="s">
        <v>2</v>
      </c>
      <c r="D2" s="4" t="s">
        <v>3</v>
      </c>
      <c r="E2" s="4" t="s">
        <v>4</v>
      </c>
      <c r="F2" s="4" t="s">
        <v>5</v>
      </c>
      <c r="G2" s="5"/>
    </row>
    <row r="3">
      <c r="A3" s="6"/>
      <c r="B3" s="5"/>
      <c r="C3" s="5"/>
      <c r="D3" s="4">
        <f>SUM(B10:B12)</f>
        <v>176543</v>
      </c>
      <c r="E3" s="5"/>
      <c r="F3" s="4">
        <f>sum(B4:B9)</f>
        <v>151237</v>
      </c>
      <c r="G3" s="5"/>
      <c r="I3" s="7">
        <f>B2-290000-F3-28000</f>
        <v>13192</v>
      </c>
      <c r="J3" s="7">
        <f>290000-(B12+B11+B10+B13)</f>
        <v>13457</v>
      </c>
    </row>
    <row r="4">
      <c r="A4" s="3" t="s">
        <v>6</v>
      </c>
      <c r="B4" s="4">
        <v>3465.0</v>
      </c>
      <c r="C4" s="5"/>
      <c r="D4" s="5"/>
      <c r="E4" s="5"/>
      <c r="F4" s="4"/>
      <c r="G4" s="5"/>
    </row>
    <row r="5">
      <c r="A5" s="3" t="s">
        <v>7</v>
      </c>
      <c r="B5" s="4">
        <v>5460.0</v>
      </c>
      <c r="C5" s="5"/>
      <c r="D5" s="5">
        <f>C11+C12</f>
        <v>158943</v>
      </c>
      <c r="E5" s="5"/>
      <c r="F5" s="4"/>
      <c r="G5" s="5"/>
    </row>
    <row r="6">
      <c r="A6" s="3" t="s">
        <v>8</v>
      </c>
      <c r="B6" s="4">
        <v>50000.0</v>
      </c>
      <c r="C6" s="5"/>
      <c r="D6" s="5"/>
      <c r="E6" s="5"/>
      <c r="F6" s="4"/>
      <c r="G6" s="5"/>
      <c r="I6" s="7">
        <f>98520-(B5+B6+B7)</f>
        <v>18909</v>
      </c>
      <c r="J6" s="7">
        <f>B20-J3</f>
        <v>-5008</v>
      </c>
    </row>
    <row r="7">
      <c r="A7" s="3" t="s">
        <v>9</v>
      </c>
      <c r="B7" s="4">
        <v>24151.0</v>
      </c>
      <c r="C7" s="5"/>
      <c r="D7" s="5"/>
      <c r="E7" s="5"/>
      <c r="F7" s="4"/>
      <c r="G7" s="5"/>
    </row>
    <row r="8">
      <c r="A8" s="3" t="s">
        <v>10</v>
      </c>
      <c r="B8" s="4">
        <v>10014.0</v>
      </c>
      <c r="C8" s="5"/>
      <c r="D8" s="5"/>
      <c r="E8" s="5"/>
      <c r="F8" s="4"/>
      <c r="G8" s="5"/>
      <c r="I8" s="7">
        <f>B20-I6</f>
        <v>-10460</v>
      </c>
    </row>
    <row r="9">
      <c r="A9" s="3" t="s">
        <v>11</v>
      </c>
      <c r="B9" s="4">
        <v>58147.0</v>
      </c>
      <c r="C9" s="5"/>
      <c r="D9" s="5"/>
      <c r="E9" s="5"/>
      <c r="F9" s="4"/>
      <c r="G9" s="5"/>
    </row>
    <row r="10">
      <c r="A10" s="3" t="s">
        <v>12</v>
      </c>
      <c r="B10" s="4">
        <f>8800*2</f>
        <v>17600</v>
      </c>
      <c r="C10" s="4">
        <v>8800.0</v>
      </c>
      <c r="D10" s="5"/>
      <c r="E10" s="5"/>
      <c r="F10" s="4"/>
      <c r="G10" s="5"/>
    </row>
    <row r="11">
      <c r="A11" s="3" t="s">
        <v>13</v>
      </c>
      <c r="B11" s="4">
        <v>7120.0</v>
      </c>
      <c r="C11" s="4">
        <v>7120.0</v>
      </c>
      <c r="D11" s="4"/>
      <c r="E11" s="5"/>
      <c r="F11" s="4"/>
      <c r="G11" s="5"/>
    </row>
    <row r="12">
      <c r="A12" s="3" t="s">
        <v>14</v>
      </c>
      <c r="B12" s="4">
        <v>151823.0</v>
      </c>
      <c r="C12" s="4">
        <v>151823.0</v>
      </c>
      <c r="D12" s="4"/>
      <c r="E12" s="5"/>
      <c r="F12" s="4"/>
      <c r="G12" s="5"/>
    </row>
    <row r="13">
      <c r="A13" s="3" t="s">
        <v>15</v>
      </c>
      <c r="B13" s="4">
        <v>100000.0</v>
      </c>
      <c r="C13" s="5"/>
      <c r="D13" s="4"/>
      <c r="E13" s="5"/>
      <c r="F13" s="4"/>
      <c r="G13" s="5"/>
    </row>
    <row r="14">
      <c r="A14" s="3" t="s">
        <v>16</v>
      </c>
      <c r="B14" s="4">
        <f>14588-6000</f>
        <v>8588</v>
      </c>
      <c r="C14" s="5"/>
      <c r="D14" s="5"/>
      <c r="E14" s="5"/>
      <c r="F14" s="4"/>
      <c r="G14" s="5"/>
    </row>
    <row r="15">
      <c r="A15" s="3" t="s">
        <v>17</v>
      </c>
      <c r="B15" s="4"/>
      <c r="C15" s="5"/>
      <c r="D15" s="4"/>
      <c r="E15" s="4"/>
      <c r="F15" s="4"/>
      <c r="G15" s="5"/>
    </row>
    <row r="16">
      <c r="A16" s="3" t="s">
        <v>18</v>
      </c>
      <c r="B16" s="4">
        <v>7500.0</v>
      </c>
      <c r="C16" s="5"/>
      <c r="D16" s="4"/>
      <c r="E16" s="5"/>
      <c r="F16" s="4"/>
      <c r="G16" s="5"/>
    </row>
    <row r="17">
      <c r="A17" s="3" t="s">
        <v>19</v>
      </c>
      <c r="B17" s="4"/>
      <c r="C17" s="5"/>
      <c r="D17" s="5"/>
      <c r="E17" s="5"/>
      <c r="F17" s="4"/>
      <c r="G17" s="5"/>
    </row>
    <row r="18">
      <c r="A18" s="3" t="s">
        <v>20</v>
      </c>
      <c r="B18" s="4">
        <f>SUM(B3:B17)</f>
        <v>443868</v>
      </c>
      <c r="C18" s="4">
        <v>8800.0</v>
      </c>
      <c r="D18" s="5"/>
      <c r="E18" s="5"/>
      <c r="F18" s="4"/>
      <c r="G18" s="5"/>
    </row>
    <row r="19">
      <c r="A19" s="6"/>
      <c r="B19" s="5"/>
      <c r="C19" s="5"/>
      <c r="D19" s="5"/>
      <c r="E19" s="5"/>
      <c r="F19" s="5"/>
      <c r="G19" s="5"/>
    </row>
    <row r="20">
      <c r="A20" s="3" t="s">
        <v>21</v>
      </c>
      <c r="B20" s="4">
        <f>IFERROR(__xludf.DUMMYFUNCTION("B2-B18+IMPORTRANGE(""https://docs.google.com/spreadsheets/d/1bVWxsNDEdZIty4wpogotR5BMon7zHNrS-exmlVHeUDQ/edit?gid=0#gid=0"",""R7_12!B20"")-IMPORTRANGE(""https://docs.google.com/spreadsheets/d/1_rxfkjd7EgNuGAZx2mQPoSId7nZhEp1Td8jjUwfGCq8/edit?gid=124212405"&amp;"3#gid=1242124053"",""R8_1!C57"")"),8449.0)</f>
        <v>8449</v>
      </c>
      <c r="C20" s="5"/>
      <c r="D20" s="5"/>
      <c r="E20" s="5"/>
      <c r="F20" s="5"/>
      <c r="G20" s="5"/>
    </row>
  </sheetData>
  <drawing r:id="rId1"/>
</worksheet>
</file>